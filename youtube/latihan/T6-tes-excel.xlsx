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oal" sheetId="2" state="visible" r:id="rId2"/>
    <sheet xmlns:r="http://schemas.openxmlformats.org/officeDocument/2006/relationships" name="Kunci Jaw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FFF4D6"/>
      </patternFill>
    </fill>
    <fill>
      <patternFill patternType="solid">
        <fgColor rgb="00E6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Divisi</t>
        </is>
      </c>
      <c r="D1" s="1" t="inlineStr">
        <is>
          <t>Gaji (Rp)</t>
        </is>
      </c>
      <c r="E1" s="1" t="inlineStr">
        <is>
          <t>Tanggal Masuk</t>
        </is>
      </c>
    </row>
    <row r="2">
      <c r="A2" t="inlineStr">
        <is>
          <t>K001</t>
        </is>
      </c>
      <c r="B2" t="inlineStr">
        <is>
          <t>Andi</t>
        </is>
      </c>
      <c r="C2" t="inlineStr">
        <is>
          <t>HR</t>
        </is>
      </c>
      <c r="D2" t="n">
        <v>15300000</v>
      </c>
      <c r="E2" s="2" t="n">
        <v>45353</v>
      </c>
    </row>
    <row r="3">
      <c r="A3" t="inlineStr">
        <is>
          <t>K002</t>
        </is>
      </c>
      <c r="B3" t="inlineStr">
        <is>
          <t>Bunga</t>
        </is>
      </c>
      <c r="C3" t="inlineStr">
        <is>
          <t>HR</t>
        </is>
      </c>
      <c r="D3" t="n">
        <v>9600000</v>
      </c>
      <c r="E3" s="2" t="n">
        <v>44823</v>
      </c>
    </row>
    <row r="4">
      <c r="A4" t="inlineStr">
        <is>
          <t>K003</t>
        </is>
      </c>
      <c r="B4" t="inlineStr">
        <is>
          <t>Citra</t>
        </is>
      </c>
      <c r="C4" t="inlineStr">
        <is>
          <t>HR</t>
        </is>
      </c>
      <c r="D4" t="n">
        <v>16400000</v>
      </c>
      <c r="E4" s="2" t="n">
        <v>46212</v>
      </c>
    </row>
    <row r="5">
      <c r="A5" t="inlineStr">
        <is>
          <t>K004</t>
        </is>
      </c>
      <c r="B5" t="inlineStr">
        <is>
          <t>Dimas</t>
        </is>
      </c>
      <c r="C5" t="inlineStr">
        <is>
          <t>Finance</t>
        </is>
      </c>
      <c r="D5" t="n">
        <v>7100000</v>
      </c>
      <c r="E5" s="2" t="n">
        <v>44524</v>
      </c>
    </row>
    <row r="6">
      <c r="A6" t="inlineStr">
        <is>
          <t>K005</t>
        </is>
      </c>
      <c r="B6" t="inlineStr">
        <is>
          <t>Eka</t>
        </is>
      </c>
      <c r="C6" t="inlineStr">
        <is>
          <t>Gudang</t>
        </is>
      </c>
      <c r="D6" t="n">
        <v>6700000</v>
      </c>
      <c r="E6" s="2" t="n">
        <v>45622</v>
      </c>
    </row>
    <row r="7">
      <c r="A7" t="inlineStr">
        <is>
          <t>K006</t>
        </is>
      </c>
      <c r="B7" t="inlineStr">
        <is>
          <t>Fajar</t>
        </is>
      </c>
      <c r="C7" t="inlineStr">
        <is>
          <t>Finance</t>
        </is>
      </c>
      <c r="D7" t="n">
        <v>9700000</v>
      </c>
      <c r="E7" s="2" t="n">
        <v>46308</v>
      </c>
    </row>
    <row r="8">
      <c r="A8" t="inlineStr">
        <is>
          <t>K007</t>
        </is>
      </c>
      <c r="B8" t="inlineStr">
        <is>
          <t>Gita</t>
        </is>
      </c>
      <c r="C8" t="inlineStr">
        <is>
          <t>Gudang</t>
        </is>
      </c>
      <c r="D8" t="n">
        <v>17200000</v>
      </c>
      <c r="E8" s="2" t="n">
        <v>44914</v>
      </c>
    </row>
    <row r="9">
      <c r="A9" t="inlineStr">
        <is>
          <t>K008</t>
        </is>
      </c>
      <c r="B9" t="inlineStr">
        <is>
          <t>Hendra</t>
        </is>
      </c>
      <c r="C9" t="inlineStr">
        <is>
          <t>HR</t>
        </is>
      </c>
      <c r="D9" t="n">
        <v>15300000</v>
      </c>
      <c r="E9" s="2" t="n">
        <v>43337</v>
      </c>
    </row>
    <row r="10">
      <c r="A10" t="inlineStr">
        <is>
          <t>K009</t>
        </is>
      </c>
      <c r="B10" t="inlineStr">
        <is>
          <t>Intan</t>
        </is>
      </c>
      <c r="C10" t="inlineStr">
        <is>
          <t>Sales</t>
        </is>
      </c>
      <c r="D10" t="n">
        <v>8100000</v>
      </c>
      <c r="E10" s="2" t="n">
        <v>45040</v>
      </c>
    </row>
    <row r="11">
      <c r="A11" t="inlineStr">
        <is>
          <t>K010</t>
        </is>
      </c>
      <c r="B11" t="inlineStr">
        <is>
          <t>Joko</t>
        </is>
      </c>
      <c r="C11" t="inlineStr">
        <is>
          <t>HR</t>
        </is>
      </c>
      <c r="D11" t="n">
        <v>12700000</v>
      </c>
      <c r="E11" s="2" t="n">
        <v>44403</v>
      </c>
    </row>
    <row r="12">
      <c r="A12" t="inlineStr">
        <is>
          <t>K011</t>
        </is>
      </c>
      <c r="B12" t="inlineStr">
        <is>
          <t>Kiki</t>
        </is>
      </c>
      <c r="C12" t="inlineStr">
        <is>
          <t>Gudang</t>
        </is>
      </c>
      <c r="D12" t="n">
        <v>8400000</v>
      </c>
      <c r="E12" s="2" t="n">
        <v>45650</v>
      </c>
    </row>
    <row r="13">
      <c r="A13" t="inlineStr">
        <is>
          <t>K012</t>
        </is>
      </c>
      <c r="B13" t="inlineStr">
        <is>
          <t>Lala</t>
        </is>
      </c>
      <c r="C13" t="inlineStr">
        <is>
          <t>Gudang</t>
        </is>
      </c>
      <c r="D13" t="n">
        <v>14500000</v>
      </c>
      <c r="E13" s="2" t="n">
        <v>46024</v>
      </c>
    </row>
    <row r="14">
      <c r="A14" t="inlineStr">
        <is>
          <t>K013</t>
        </is>
      </c>
      <c r="B14" t="inlineStr">
        <is>
          <t>Made</t>
        </is>
      </c>
      <c r="C14" t="inlineStr">
        <is>
          <t>Gudang</t>
        </is>
      </c>
      <c r="D14" t="n">
        <v>9400000</v>
      </c>
      <c r="E14" s="2" t="n">
        <v>43685</v>
      </c>
    </row>
    <row r="15">
      <c r="A15" t="inlineStr">
        <is>
          <t>K014</t>
        </is>
      </c>
      <c r="B15" t="inlineStr">
        <is>
          <t>Nanda</t>
        </is>
      </c>
      <c r="C15" t="inlineStr">
        <is>
          <t>HR</t>
        </is>
      </c>
      <c r="D15" t="n">
        <v>12700000</v>
      </c>
      <c r="E15" s="2" t="n">
        <v>45429</v>
      </c>
    </row>
    <row r="16">
      <c r="A16" t="inlineStr">
        <is>
          <t>K015</t>
        </is>
      </c>
      <c r="B16" t="inlineStr">
        <is>
          <t>Oki</t>
        </is>
      </c>
      <c r="C16" t="inlineStr">
        <is>
          <t>HR</t>
        </is>
      </c>
      <c r="D16" t="n">
        <v>7300000</v>
      </c>
      <c r="E16" s="2" t="n">
        <v>45643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5" customWidth="1" min="2" max="2"/>
    <col width="22" customWidth="1" min="3" max="3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Jawaban</t>
        </is>
      </c>
    </row>
    <row r="2">
      <c r="A2" t="n">
        <v>1</v>
      </c>
      <c r="B2" t="inlineStr">
        <is>
          <t>Total gaji divisi Sales</t>
        </is>
      </c>
      <c r="C2" s="3" t="inlineStr"/>
    </row>
    <row r="3">
      <c r="A3" t="n">
        <v>2</v>
      </c>
      <c r="B3" t="inlineStr">
        <is>
          <t>Jumlah karyawan Finance</t>
        </is>
      </c>
      <c r="C3" s="3" t="inlineStr"/>
    </row>
    <row r="4">
      <c r="A4" t="n">
        <v>3</v>
      </c>
      <c r="B4" t="inlineStr">
        <is>
          <t>Rata-rata gaji divisi HR</t>
        </is>
      </c>
      <c r="C4" s="3" t="inlineStr"/>
    </row>
    <row r="5">
      <c r="A5" t="n">
        <v>4</v>
      </c>
      <c r="B5" t="inlineStr">
        <is>
          <t>Gaji tertinggi</t>
        </is>
      </c>
      <c r="C5" s="3" t="inlineStr"/>
    </row>
    <row r="6">
      <c r="A6" t="n">
        <v>5</v>
      </c>
      <c r="B6" t="inlineStr">
        <is>
          <t>Nama dengan gaji tertinggi</t>
        </is>
      </c>
      <c r="C6" s="3" t="inlineStr"/>
    </row>
    <row r="7">
      <c r="A7" t="n">
        <v>6</v>
      </c>
      <c r="B7" t="inlineStr">
        <is>
          <t>Divisi milik K007</t>
        </is>
      </c>
      <c r="C7" s="3" t="inlineStr"/>
    </row>
    <row r="8">
      <c r="A8" t="n">
        <v>7</v>
      </c>
      <c r="B8" t="inlineStr">
        <is>
          <t>Jumlah yang masuk sebelum 2022</t>
        </is>
      </c>
      <c r="C8" s="3" t="inlineStr"/>
    </row>
    <row r="9">
      <c r="A9" t="n">
        <v>8</v>
      </c>
      <c r="B9" t="inlineStr">
        <is>
          <t>Masa kerja Andi dalam tahun (per 1 Nov 2026)</t>
        </is>
      </c>
      <c r="C9" s="3" t="inlineStr"/>
    </row>
    <row r="10">
      <c r="A10" t="n">
        <v>9</v>
      </c>
      <c r="B10" t="inlineStr">
        <is>
          <t>Gaji Bunga naik 10%, jadi berapa</t>
        </is>
      </c>
      <c r="C10" s="3" t="inlineStr"/>
    </row>
    <row r="11">
      <c r="A11" t="n">
        <v>10</v>
      </c>
      <c r="B11" t="inlineStr">
        <is>
          <t>Label 'Senior' kalau masa kerja &gt;= 5 tahun untuk Citra</t>
        </is>
      </c>
      <c r="C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5" customWidth="1" min="2" max="2"/>
    <col width="22" customWidth="1" min="3" max="3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Jawaban</t>
        </is>
      </c>
    </row>
    <row r="2">
      <c r="A2" t="n">
        <v>1</v>
      </c>
      <c r="B2" t="inlineStr">
        <is>
          <t>Total gaji divisi Sales</t>
        </is>
      </c>
      <c r="C2" s="4">
        <f>SUMIFS(Data!D2:D16,Data!C2:C16,"Sales")</f>
        <v/>
      </c>
    </row>
    <row r="3">
      <c r="A3" t="n">
        <v>2</v>
      </c>
      <c r="B3" t="inlineStr">
        <is>
          <t>Jumlah karyawan Finance</t>
        </is>
      </c>
      <c r="C3" s="4">
        <f>COUNTIFS(Data!C2:C16,"Finance")</f>
        <v/>
      </c>
    </row>
    <row r="4">
      <c r="A4" t="n">
        <v>3</v>
      </c>
      <c r="B4" t="inlineStr">
        <is>
          <t>Rata-rata gaji divisi HR</t>
        </is>
      </c>
      <c r="C4" s="4">
        <f>AVERAGEIFS(Data!D2:D16,Data!C2:C16,"HR")</f>
        <v/>
      </c>
    </row>
    <row r="5">
      <c r="A5" t="n">
        <v>4</v>
      </c>
      <c r="B5" t="inlineStr">
        <is>
          <t>Gaji tertinggi</t>
        </is>
      </c>
      <c r="C5" s="4">
        <f>MAX(Data!D2:D16)</f>
        <v/>
      </c>
    </row>
    <row r="6">
      <c r="A6" t="n">
        <v>5</v>
      </c>
      <c r="B6" t="inlineStr">
        <is>
          <t>Nama dengan gaji tertinggi</t>
        </is>
      </c>
      <c r="C6" s="4">
        <f>INDEX(Data!B2:B16,MATCH(MAX(Data!D2:D16),Data!D2:D16,0))</f>
        <v/>
      </c>
    </row>
    <row r="7">
      <c r="A7" t="n">
        <v>6</v>
      </c>
      <c r="B7" t="inlineStr">
        <is>
          <t>Divisi milik K007</t>
        </is>
      </c>
      <c r="C7" s="4">
        <f>_xlfn.XLOOKUP("K007",Data!A2:A16,Data!C2:C16)</f>
        <v/>
      </c>
    </row>
    <row r="8">
      <c r="A8" t="n">
        <v>7</v>
      </c>
      <c r="B8" t="inlineStr">
        <is>
          <t>Jumlah yang masuk sebelum 2022</t>
        </is>
      </c>
      <c r="C8" s="4">
        <f>COUNTIFS(Data!E2:E16,"&lt;"&amp;DATE(2022,1,1))</f>
        <v/>
      </c>
    </row>
    <row r="9">
      <c r="A9" t="n">
        <v>8</v>
      </c>
      <c r="B9" t="inlineStr">
        <is>
          <t>Masa kerja Andi dalam tahun (per 1 Nov 2026)</t>
        </is>
      </c>
      <c r="C9" s="4">
        <f>DATEDIF(Data!E2,DATE(2026,11,1),"Y")</f>
        <v/>
      </c>
    </row>
    <row r="10">
      <c r="A10" t="n">
        <v>9</v>
      </c>
      <c r="B10" t="inlineStr">
        <is>
          <t>Gaji Bunga naik 10%, jadi berapa</t>
        </is>
      </c>
      <c r="C10" s="4">
        <f>Data!D3*1.1</f>
        <v/>
      </c>
    </row>
    <row r="11">
      <c r="A11" t="n">
        <v>10</v>
      </c>
      <c r="B11" t="inlineStr">
        <is>
          <t>Label 'Senior' kalau masa kerja &gt;= 5 tahun untuk Citra</t>
        </is>
      </c>
      <c r="C11" s="4">
        <f>IF(DATEDIF(Data!E4,DATE(2026,11,1),"Y")&gt;=5,"Senior","Junior")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