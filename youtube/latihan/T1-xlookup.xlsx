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roduk" sheetId="1" state="visible" r:id="rId1"/>
    <sheet xmlns:r="http://schemas.openxmlformats.org/officeDocument/2006/relationships" name="Latihan" sheetId="2" state="visible" r:id="rId2"/>
    <sheet xmlns:r="http://schemas.openxmlformats.org/officeDocument/2006/relationships" name="Kunci Jawaban" sheetId="3" state="visible" r:id="rId3"/>
    <sheet xmlns:r="http://schemas.openxmlformats.org/officeDocument/2006/relationships" name="Tantang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6">
    <fill>
      <patternFill/>
    </fill>
    <fill>
      <patternFill patternType="gray125"/>
    </fill>
    <fill>
      <patternFill patternType="solid">
        <fgColor rgb="000F1C2E"/>
      </patternFill>
    </fill>
    <fill>
      <patternFill patternType="solid">
        <fgColor rgb="00FFF4D6"/>
      </patternFill>
    </fill>
    <fill>
      <patternFill patternType="solid">
        <fgColor rgb="00E6F7F5"/>
      </patternFill>
    </fill>
    <fill>
      <patternFill patternType="solid">
        <fgColor rgb="002EC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Kode</t>
        </is>
      </c>
      <c r="B1" s="1" t="inlineStr">
        <is>
          <t>Nama Produk</t>
        </is>
      </c>
      <c r="C1" s="1" t="inlineStr">
        <is>
          <t>Kategori</t>
        </is>
      </c>
      <c r="D1" s="1" t="inlineStr">
        <is>
          <t>Harga (Rp)</t>
        </is>
      </c>
    </row>
    <row r="2">
      <c r="A2" t="inlineStr">
        <is>
          <t>P001</t>
        </is>
      </c>
      <c r="B2" t="inlineStr">
        <is>
          <t>Kertas A4 80gsm</t>
        </is>
      </c>
      <c r="C2" t="inlineStr">
        <is>
          <t>ATK</t>
        </is>
      </c>
      <c r="D2" t="n">
        <v>52000</v>
      </c>
    </row>
    <row r="3">
      <c r="A3" t="inlineStr">
        <is>
          <t>P002</t>
        </is>
      </c>
      <c r="B3" t="inlineStr">
        <is>
          <t>Tinta Printer Hitam</t>
        </is>
      </c>
      <c r="C3" t="inlineStr">
        <is>
          <t>ATK</t>
        </is>
      </c>
      <c r="D3" t="n">
        <v>185000</v>
      </c>
    </row>
    <row r="4">
      <c r="A4" t="inlineStr">
        <is>
          <t>P003</t>
        </is>
      </c>
      <c r="B4" t="inlineStr">
        <is>
          <t>Map Plastik</t>
        </is>
      </c>
      <c r="C4" t="inlineStr">
        <is>
          <t>ATK</t>
        </is>
      </c>
      <c r="D4" t="n">
        <v>3500</v>
      </c>
    </row>
    <row r="5">
      <c r="A5" t="inlineStr">
        <is>
          <t>P004</t>
        </is>
      </c>
      <c r="B5" t="inlineStr">
        <is>
          <t>Mouse Wireless</t>
        </is>
      </c>
      <c r="C5" t="inlineStr">
        <is>
          <t>Elektronik</t>
        </is>
      </c>
      <c r="D5" t="n">
        <v>125000</v>
      </c>
    </row>
    <row r="6">
      <c r="A6" t="inlineStr">
        <is>
          <t>P005</t>
        </is>
      </c>
      <c r="B6" t="inlineStr">
        <is>
          <t>Keyboard USB</t>
        </is>
      </c>
      <c r="C6" t="inlineStr">
        <is>
          <t>Elektronik</t>
        </is>
      </c>
      <c r="D6" t="n">
        <v>160000</v>
      </c>
    </row>
    <row r="7">
      <c r="A7" t="inlineStr">
        <is>
          <t>P006</t>
        </is>
      </c>
      <c r="B7" t="inlineStr">
        <is>
          <t>Flashdisk 64GB</t>
        </is>
      </c>
      <c r="C7" t="inlineStr">
        <is>
          <t>Elektronik</t>
        </is>
      </c>
      <c r="D7" t="n">
        <v>89000</v>
      </c>
    </row>
    <row r="8">
      <c r="A8" t="inlineStr">
        <is>
          <t>P007</t>
        </is>
      </c>
      <c r="B8" t="inlineStr">
        <is>
          <t>Kursi Kantor</t>
        </is>
      </c>
      <c r="C8" t="inlineStr">
        <is>
          <t>Furnitur</t>
        </is>
      </c>
      <c r="D8" t="n">
        <v>1250000</v>
      </c>
    </row>
    <row r="9">
      <c r="A9" t="inlineStr">
        <is>
          <t>P008</t>
        </is>
      </c>
      <c r="B9" t="inlineStr">
        <is>
          <t>Meja Lipat</t>
        </is>
      </c>
      <c r="C9" t="inlineStr">
        <is>
          <t>Furnitur</t>
        </is>
      </c>
      <c r="D9" t="n">
        <v>650000</v>
      </c>
    </row>
    <row r="10">
      <c r="A10" t="inlineStr">
        <is>
          <t>P009</t>
        </is>
      </c>
      <c r="B10" t="inlineStr">
        <is>
          <t>Lemari Arsip</t>
        </is>
      </c>
      <c r="C10" t="inlineStr">
        <is>
          <t>Furnitur</t>
        </is>
      </c>
      <c r="D10" t="n">
        <v>2100000</v>
      </c>
    </row>
    <row r="11">
      <c r="A11" t="inlineStr">
        <is>
          <t>P010</t>
        </is>
      </c>
      <c r="B11" t="inlineStr">
        <is>
          <t>Kopi Sachet (box)</t>
        </is>
      </c>
      <c r="C11" t="inlineStr">
        <is>
          <t>Pantry</t>
        </is>
      </c>
      <c r="D11" t="n">
        <v>48000</v>
      </c>
    </row>
    <row r="12">
      <c r="A12" t="inlineStr">
        <is>
          <t>P011</t>
        </is>
      </c>
      <c r="B12" t="inlineStr">
        <is>
          <t>Air Mineral (dus)</t>
        </is>
      </c>
      <c r="C12" t="inlineStr">
        <is>
          <t>Pantry</t>
        </is>
      </c>
      <c r="D12" t="n">
        <v>42000</v>
      </c>
    </row>
    <row r="13">
      <c r="A13" t="inlineStr">
        <is>
          <t>P012</t>
        </is>
      </c>
      <c r="B13" t="inlineStr">
        <is>
          <t>Gula 1kg</t>
        </is>
      </c>
      <c r="C13" t="inlineStr">
        <is>
          <t>Pantry</t>
        </is>
      </c>
      <c r="D13" t="n">
        <v>17500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 Transaksi</t>
        </is>
      </c>
      <c r="B1" s="1" t="inlineStr">
        <is>
          <t>Kode</t>
        </is>
      </c>
      <c r="C1" s="1" t="inlineStr">
        <is>
          <t>Qty</t>
        </is>
      </c>
      <c r="D1" s="1" t="inlineStr">
        <is>
          <t>Cabang</t>
        </is>
      </c>
      <c r="E1" s="1" t="inlineStr">
        <is>
          <t>Nama Produk</t>
        </is>
      </c>
      <c r="F1" s="1" t="inlineStr">
        <is>
          <t>Harga (Rp)</t>
        </is>
      </c>
      <c r="G1" s="1" t="inlineStr">
        <is>
          <t>Total (Rp)</t>
        </is>
      </c>
      <c r="I1" s="2" t="inlineStr">
        <is>
          <t>Isi kolom kuning pakai XLOOKUP. TRX-014 sengaja pakai kode yang nggak ada.</t>
        </is>
      </c>
    </row>
    <row r="2">
      <c r="A2" t="inlineStr">
        <is>
          <t>TRX-001</t>
        </is>
      </c>
      <c r="B2" t="inlineStr">
        <is>
          <t>P002</t>
        </is>
      </c>
      <c r="C2" t="n">
        <v>11</v>
      </c>
      <c r="D2" t="inlineStr">
        <is>
          <t>Surabaya</t>
        </is>
      </c>
      <c r="E2" s="3" t="inlineStr"/>
      <c r="F2" s="3" t="inlineStr"/>
      <c r="G2" s="3" t="inlineStr"/>
    </row>
    <row r="3">
      <c r="A3" t="inlineStr">
        <is>
          <t>TRX-002</t>
        </is>
      </c>
      <c r="B3" t="inlineStr">
        <is>
          <t>P009</t>
        </is>
      </c>
      <c r="C3" t="n">
        <v>4</v>
      </c>
      <c r="D3" t="inlineStr">
        <is>
          <t>Jakarta</t>
        </is>
      </c>
      <c r="E3" s="3" t="inlineStr"/>
      <c r="F3" s="3" t="inlineStr"/>
      <c r="G3" s="3" t="inlineStr"/>
    </row>
    <row r="4">
      <c r="A4" t="inlineStr">
        <is>
          <t>TRX-003</t>
        </is>
      </c>
      <c r="B4" t="inlineStr">
        <is>
          <t>P010</t>
        </is>
      </c>
      <c r="C4" t="n">
        <v>20</v>
      </c>
      <c r="D4" t="inlineStr">
        <is>
          <t>Surabaya</t>
        </is>
      </c>
      <c r="E4" s="3" t="inlineStr"/>
      <c r="F4" s="3" t="inlineStr"/>
      <c r="G4" s="3" t="inlineStr"/>
    </row>
    <row r="5">
      <c r="A5" t="inlineStr">
        <is>
          <t>TRX-004</t>
        </is>
      </c>
      <c r="B5" t="inlineStr">
        <is>
          <t>P007</t>
        </is>
      </c>
      <c r="C5" t="n">
        <v>19</v>
      </c>
      <c r="D5" t="inlineStr">
        <is>
          <t>Surabaya</t>
        </is>
      </c>
      <c r="E5" s="3" t="inlineStr"/>
      <c r="F5" s="3" t="inlineStr"/>
      <c r="G5" s="3" t="inlineStr"/>
    </row>
    <row r="6">
      <c r="A6" t="inlineStr">
        <is>
          <t>TRX-005</t>
        </is>
      </c>
      <c r="B6" t="inlineStr">
        <is>
          <t>P012</t>
        </is>
      </c>
      <c r="C6" t="n">
        <v>16</v>
      </c>
      <c r="D6" t="inlineStr">
        <is>
          <t>Surabaya</t>
        </is>
      </c>
      <c r="E6" s="3" t="inlineStr"/>
      <c r="F6" s="3" t="inlineStr"/>
      <c r="G6" s="3" t="inlineStr"/>
    </row>
    <row r="7">
      <c r="A7" t="inlineStr">
        <is>
          <t>TRX-006</t>
        </is>
      </c>
      <c r="B7" t="inlineStr">
        <is>
          <t>P008</t>
        </is>
      </c>
      <c r="C7" t="n">
        <v>8</v>
      </c>
      <c r="D7" t="inlineStr">
        <is>
          <t>Jakarta</t>
        </is>
      </c>
      <c r="E7" s="3" t="inlineStr"/>
      <c r="F7" s="3" t="inlineStr"/>
      <c r="G7" s="3" t="inlineStr"/>
    </row>
    <row r="8">
      <c r="A8" t="inlineStr">
        <is>
          <t>TRX-007</t>
        </is>
      </c>
      <c r="B8" t="inlineStr">
        <is>
          <t>P010</t>
        </is>
      </c>
      <c r="C8" t="n">
        <v>3</v>
      </c>
      <c r="D8" t="inlineStr">
        <is>
          <t>Jakarta</t>
        </is>
      </c>
      <c r="E8" s="3" t="inlineStr"/>
      <c r="F8" s="3" t="inlineStr"/>
      <c r="G8" s="3" t="inlineStr"/>
    </row>
    <row r="9">
      <c r="A9" t="inlineStr">
        <is>
          <t>TRX-008</t>
        </is>
      </c>
      <c r="B9" t="inlineStr">
        <is>
          <t>P005</t>
        </is>
      </c>
      <c r="C9" t="n">
        <v>4</v>
      </c>
      <c r="D9" t="inlineStr">
        <is>
          <t>Bandung</t>
        </is>
      </c>
      <c r="E9" s="3" t="inlineStr"/>
      <c r="F9" s="3" t="inlineStr"/>
      <c r="G9" s="3" t="inlineStr"/>
    </row>
    <row r="10">
      <c r="A10" t="inlineStr">
        <is>
          <t>TRX-009</t>
        </is>
      </c>
      <c r="B10" t="inlineStr">
        <is>
          <t>P001</t>
        </is>
      </c>
      <c r="C10" t="n">
        <v>16</v>
      </c>
      <c r="D10" t="inlineStr">
        <is>
          <t>Surabaya</t>
        </is>
      </c>
      <c r="E10" s="3" t="inlineStr"/>
      <c r="F10" s="3" t="inlineStr"/>
      <c r="G10" s="3" t="inlineStr"/>
    </row>
    <row r="11">
      <c r="A11" t="inlineStr">
        <is>
          <t>TRX-010</t>
        </is>
      </c>
      <c r="B11" t="inlineStr">
        <is>
          <t>P006</t>
        </is>
      </c>
      <c r="C11" t="n">
        <v>7</v>
      </c>
      <c r="D11" t="inlineStr">
        <is>
          <t>Bandung</t>
        </is>
      </c>
      <c r="E11" s="3" t="inlineStr"/>
      <c r="F11" s="3" t="inlineStr"/>
      <c r="G11" s="3" t="inlineStr"/>
    </row>
    <row r="12">
      <c r="A12" t="inlineStr">
        <is>
          <t>TRX-011</t>
        </is>
      </c>
      <c r="B12" t="inlineStr">
        <is>
          <t>P005</t>
        </is>
      </c>
      <c r="C12" t="n">
        <v>12</v>
      </c>
      <c r="D12" t="inlineStr">
        <is>
          <t>Bandung</t>
        </is>
      </c>
      <c r="E12" s="3" t="inlineStr"/>
      <c r="F12" s="3" t="inlineStr"/>
      <c r="G12" s="3" t="inlineStr"/>
    </row>
    <row r="13">
      <c r="A13" t="inlineStr">
        <is>
          <t>TRX-012</t>
        </is>
      </c>
      <c r="B13" t="inlineStr">
        <is>
          <t>P007</t>
        </is>
      </c>
      <c r="C13" t="n">
        <v>17</v>
      </c>
      <c r="D13" t="inlineStr">
        <is>
          <t>Surabaya</t>
        </is>
      </c>
      <c r="E13" s="3" t="inlineStr"/>
      <c r="F13" s="3" t="inlineStr"/>
      <c r="G13" s="3" t="inlineStr"/>
    </row>
    <row r="14">
      <c r="A14" t="inlineStr">
        <is>
          <t>TRX-013</t>
        </is>
      </c>
      <c r="B14" t="inlineStr">
        <is>
          <t>P002</t>
        </is>
      </c>
      <c r="C14" t="n">
        <v>11</v>
      </c>
      <c r="D14" t="inlineStr">
        <is>
          <t>Jakarta</t>
        </is>
      </c>
      <c r="E14" s="3" t="inlineStr"/>
      <c r="F14" s="3" t="inlineStr"/>
      <c r="G14" s="3" t="inlineStr"/>
    </row>
    <row r="15">
      <c r="A15" t="inlineStr">
        <is>
          <t>TRX-014</t>
        </is>
      </c>
      <c r="B15" t="inlineStr">
        <is>
          <t>P099</t>
        </is>
      </c>
      <c r="C15" t="n">
        <v>18</v>
      </c>
      <c r="D15" t="inlineStr">
        <is>
          <t>Surabaya</t>
        </is>
      </c>
      <c r="E15" s="3" t="inlineStr"/>
      <c r="F15" s="3" t="inlineStr"/>
      <c r="G15" s="3" t="inlineStr"/>
    </row>
    <row r="16">
      <c r="A16" t="inlineStr">
        <is>
          <t>TRX-015</t>
        </is>
      </c>
      <c r="B16" t="inlineStr">
        <is>
          <t>P005</t>
        </is>
      </c>
      <c r="C16" t="n">
        <v>10</v>
      </c>
      <c r="D16" t="inlineStr">
        <is>
          <t>Bandung</t>
        </is>
      </c>
      <c r="E16" s="3" t="inlineStr"/>
      <c r="F16" s="3" t="inlineStr"/>
      <c r="G16" s="3" t="inlineStr"/>
    </row>
    <row r="17">
      <c r="A17" t="inlineStr">
        <is>
          <t>TRX-016</t>
        </is>
      </c>
      <c r="B17" t="inlineStr">
        <is>
          <t>P003</t>
        </is>
      </c>
      <c r="C17" t="n">
        <v>19</v>
      </c>
      <c r="D17" t="inlineStr">
        <is>
          <t>Bandung</t>
        </is>
      </c>
      <c r="E17" s="3" t="inlineStr"/>
      <c r="F17" s="3" t="inlineStr"/>
      <c r="G17" s="3" t="inlineStr"/>
    </row>
    <row r="18">
      <c r="A18" t="inlineStr">
        <is>
          <t>TRX-017</t>
        </is>
      </c>
      <c r="B18" t="inlineStr">
        <is>
          <t>P001</t>
        </is>
      </c>
      <c r="C18" t="n">
        <v>12</v>
      </c>
      <c r="D18" t="inlineStr">
        <is>
          <t>Bandung</t>
        </is>
      </c>
      <c r="E18" s="3" t="inlineStr"/>
      <c r="F18" s="3" t="inlineStr"/>
      <c r="G18" s="3" t="inlineStr"/>
    </row>
    <row r="19">
      <c r="A19" t="inlineStr">
        <is>
          <t>TRX-018</t>
        </is>
      </c>
      <c r="B19" t="inlineStr">
        <is>
          <t>P008</t>
        </is>
      </c>
      <c r="C19" t="n">
        <v>14</v>
      </c>
      <c r="D19" t="inlineStr">
        <is>
          <t>Jakarta</t>
        </is>
      </c>
      <c r="E19" s="3" t="inlineStr"/>
      <c r="F19" s="3" t="inlineStr"/>
      <c r="G19" s="3" t="inlineStr"/>
    </row>
    <row r="20">
      <c r="A20" t="inlineStr">
        <is>
          <t>TRX-019</t>
        </is>
      </c>
      <c r="B20" t="inlineStr">
        <is>
          <t>P007</t>
        </is>
      </c>
      <c r="C20" t="n">
        <v>19</v>
      </c>
      <c r="D20" t="inlineStr">
        <is>
          <t>Surabaya</t>
        </is>
      </c>
      <c r="E20" s="3" t="inlineStr"/>
      <c r="F20" s="3" t="inlineStr"/>
      <c r="G20" s="3" t="inlineStr"/>
    </row>
    <row r="21">
      <c r="A21" t="inlineStr">
        <is>
          <t>TRX-020</t>
        </is>
      </c>
      <c r="B21" t="inlineStr">
        <is>
          <t>P008</t>
        </is>
      </c>
      <c r="C21" t="n">
        <v>4</v>
      </c>
      <c r="D21" t="inlineStr">
        <is>
          <t>Bandung</t>
        </is>
      </c>
      <c r="E21" s="3" t="inlineStr"/>
      <c r="F21" s="3" t="inlineStr"/>
      <c r="G21" s="3" t="inlineStr"/>
    </row>
    <row r="22">
      <c r="A22" t="inlineStr">
        <is>
          <t>TRX-021</t>
        </is>
      </c>
      <c r="B22" t="inlineStr">
        <is>
          <t>P009</t>
        </is>
      </c>
      <c r="C22" t="n">
        <v>20</v>
      </c>
      <c r="D22" t="inlineStr">
        <is>
          <t>Bandung</t>
        </is>
      </c>
      <c r="E22" s="3" t="inlineStr"/>
      <c r="F22" s="3" t="inlineStr"/>
      <c r="G22" s="3" t="inlineStr"/>
    </row>
    <row r="23">
      <c r="A23" t="inlineStr">
        <is>
          <t>TRX-022</t>
        </is>
      </c>
      <c r="B23" t="inlineStr">
        <is>
          <t>P007</t>
        </is>
      </c>
      <c r="C23" t="n">
        <v>17</v>
      </c>
      <c r="D23" t="inlineStr">
        <is>
          <t>Bandung</t>
        </is>
      </c>
      <c r="E23" s="3" t="inlineStr"/>
      <c r="F23" s="3" t="inlineStr"/>
      <c r="G23" s="3" t="inlineStr"/>
    </row>
    <row r="24">
      <c r="A24" t="inlineStr">
        <is>
          <t>TRX-023</t>
        </is>
      </c>
      <c r="B24" t="inlineStr">
        <is>
          <t>P007</t>
        </is>
      </c>
      <c r="C24" t="n">
        <v>19</v>
      </c>
      <c r="D24" t="inlineStr">
        <is>
          <t>Bandung</t>
        </is>
      </c>
      <c r="E24" s="3" t="inlineStr"/>
      <c r="F24" s="3" t="inlineStr"/>
      <c r="G24" s="3" t="inlineStr"/>
    </row>
    <row r="25">
      <c r="A25" t="inlineStr">
        <is>
          <t>TRX-024</t>
        </is>
      </c>
      <c r="B25" t="inlineStr">
        <is>
          <t>P009</t>
        </is>
      </c>
      <c r="C25" t="n">
        <v>17</v>
      </c>
      <c r="D25" t="inlineStr">
        <is>
          <t>Jakarta</t>
        </is>
      </c>
      <c r="E25" s="3" t="inlineStr"/>
      <c r="F25" s="3" t="inlineStr"/>
      <c r="G25" s="3" t="inlineStr"/>
    </row>
    <row r="26">
      <c r="A26" t="inlineStr">
        <is>
          <t>TRX-025</t>
        </is>
      </c>
      <c r="B26" t="inlineStr">
        <is>
          <t>P010</t>
        </is>
      </c>
      <c r="C26" t="n">
        <v>8</v>
      </c>
      <c r="D26" t="inlineStr">
        <is>
          <t>Jakarta</t>
        </is>
      </c>
      <c r="E26" s="3" t="inlineStr"/>
      <c r="F26" s="3" t="inlineStr"/>
      <c r="G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 Transaksi</t>
        </is>
      </c>
      <c r="B1" s="1" t="inlineStr">
        <is>
          <t>Kode</t>
        </is>
      </c>
      <c r="C1" s="1" t="inlineStr">
        <is>
          <t>Qty</t>
        </is>
      </c>
      <c r="D1" s="1" t="inlineStr">
        <is>
          <t>Cabang</t>
        </is>
      </c>
      <c r="E1" s="1" t="inlineStr">
        <is>
          <t>Nama Produk</t>
        </is>
      </c>
      <c r="F1" s="1" t="inlineStr">
        <is>
          <t>Harga (Rp)</t>
        </is>
      </c>
      <c r="G1" s="1" t="inlineStr">
        <is>
          <t>Total (Rp)</t>
        </is>
      </c>
      <c r="I1" s="2" t="inlineStr">
        <is>
          <t>Jawaban: XLOOKUP dengan argumen if_not_found.</t>
        </is>
      </c>
    </row>
    <row r="2">
      <c r="A2" t="inlineStr">
        <is>
          <t>TRX-001</t>
        </is>
      </c>
      <c r="B2" t="inlineStr">
        <is>
          <t>P002</t>
        </is>
      </c>
      <c r="C2" t="n">
        <v>11</v>
      </c>
      <c r="D2" t="inlineStr">
        <is>
          <t>Surabaya</t>
        </is>
      </c>
      <c r="E2" s="4">
        <f>_xlfn.XLOOKUP(B2,Data_Produk!$A:$A,Data_Produk!$B:$B,"Tidak ada")</f>
        <v/>
      </c>
      <c r="F2" s="4">
        <f>_xlfn.XLOOKUP(B2,Data_Produk!$A:$A,Data_Produk!$D:$D,0)</f>
        <v/>
      </c>
      <c r="G2" s="4">
        <f>C2*F2</f>
        <v/>
      </c>
    </row>
    <row r="3">
      <c r="A3" t="inlineStr">
        <is>
          <t>TRX-002</t>
        </is>
      </c>
      <c r="B3" t="inlineStr">
        <is>
          <t>P009</t>
        </is>
      </c>
      <c r="C3" t="n">
        <v>4</v>
      </c>
      <c r="D3" t="inlineStr">
        <is>
          <t>Jakarta</t>
        </is>
      </c>
      <c r="E3" s="4">
        <f>_xlfn.XLOOKUP(B3,Data_Produk!$A:$A,Data_Produk!$B:$B,"Tidak ada")</f>
        <v/>
      </c>
      <c r="F3" s="4">
        <f>_xlfn.XLOOKUP(B3,Data_Produk!$A:$A,Data_Produk!$D:$D,0)</f>
        <v/>
      </c>
      <c r="G3" s="4">
        <f>C3*F3</f>
        <v/>
      </c>
    </row>
    <row r="4">
      <c r="A4" t="inlineStr">
        <is>
          <t>TRX-003</t>
        </is>
      </c>
      <c r="B4" t="inlineStr">
        <is>
          <t>P010</t>
        </is>
      </c>
      <c r="C4" t="n">
        <v>20</v>
      </c>
      <c r="D4" t="inlineStr">
        <is>
          <t>Surabaya</t>
        </is>
      </c>
      <c r="E4" s="4">
        <f>_xlfn.XLOOKUP(B4,Data_Produk!$A:$A,Data_Produk!$B:$B,"Tidak ada")</f>
        <v/>
      </c>
      <c r="F4" s="4">
        <f>_xlfn.XLOOKUP(B4,Data_Produk!$A:$A,Data_Produk!$D:$D,0)</f>
        <v/>
      </c>
      <c r="G4" s="4">
        <f>C4*F4</f>
        <v/>
      </c>
    </row>
    <row r="5">
      <c r="A5" t="inlineStr">
        <is>
          <t>TRX-004</t>
        </is>
      </c>
      <c r="B5" t="inlineStr">
        <is>
          <t>P007</t>
        </is>
      </c>
      <c r="C5" t="n">
        <v>19</v>
      </c>
      <c r="D5" t="inlineStr">
        <is>
          <t>Surabaya</t>
        </is>
      </c>
      <c r="E5" s="4">
        <f>_xlfn.XLOOKUP(B5,Data_Produk!$A:$A,Data_Produk!$B:$B,"Tidak ada")</f>
        <v/>
      </c>
      <c r="F5" s="4">
        <f>_xlfn.XLOOKUP(B5,Data_Produk!$A:$A,Data_Produk!$D:$D,0)</f>
        <v/>
      </c>
      <c r="G5" s="4">
        <f>C5*F5</f>
        <v/>
      </c>
    </row>
    <row r="6">
      <c r="A6" t="inlineStr">
        <is>
          <t>TRX-005</t>
        </is>
      </c>
      <c r="B6" t="inlineStr">
        <is>
          <t>P012</t>
        </is>
      </c>
      <c r="C6" t="n">
        <v>16</v>
      </c>
      <c r="D6" t="inlineStr">
        <is>
          <t>Surabaya</t>
        </is>
      </c>
      <c r="E6" s="4">
        <f>_xlfn.XLOOKUP(B6,Data_Produk!$A:$A,Data_Produk!$B:$B,"Tidak ada")</f>
        <v/>
      </c>
      <c r="F6" s="4">
        <f>_xlfn.XLOOKUP(B6,Data_Produk!$A:$A,Data_Produk!$D:$D,0)</f>
        <v/>
      </c>
      <c r="G6" s="4">
        <f>C6*F6</f>
        <v/>
      </c>
    </row>
    <row r="7">
      <c r="A7" t="inlineStr">
        <is>
          <t>TRX-006</t>
        </is>
      </c>
      <c r="B7" t="inlineStr">
        <is>
          <t>P008</t>
        </is>
      </c>
      <c r="C7" t="n">
        <v>8</v>
      </c>
      <c r="D7" t="inlineStr">
        <is>
          <t>Jakarta</t>
        </is>
      </c>
      <c r="E7" s="4">
        <f>_xlfn.XLOOKUP(B7,Data_Produk!$A:$A,Data_Produk!$B:$B,"Tidak ada")</f>
        <v/>
      </c>
      <c r="F7" s="4">
        <f>_xlfn.XLOOKUP(B7,Data_Produk!$A:$A,Data_Produk!$D:$D,0)</f>
        <v/>
      </c>
      <c r="G7" s="4">
        <f>C7*F7</f>
        <v/>
      </c>
    </row>
    <row r="8">
      <c r="A8" t="inlineStr">
        <is>
          <t>TRX-007</t>
        </is>
      </c>
      <c r="B8" t="inlineStr">
        <is>
          <t>P010</t>
        </is>
      </c>
      <c r="C8" t="n">
        <v>3</v>
      </c>
      <c r="D8" t="inlineStr">
        <is>
          <t>Jakarta</t>
        </is>
      </c>
      <c r="E8" s="4">
        <f>_xlfn.XLOOKUP(B8,Data_Produk!$A:$A,Data_Produk!$B:$B,"Tidak ada")</f>
        <v/>
      </c>
      <c r="F8" s="4">
        <f>_xlfn.XLOOKUP(B8,Data_Produk!$A:$A,Data_Produk!$D:$D,0)</f>
        <v/>
      </c>
      <c r="G8" s="4">
        <f>C8*F8</f>
        <v/>
      </c>
    </row>
    <row r="9">
      <c r="A9" t="inlineStr">
        <is>
          <t>TRX-008</t>
        </is>
      </c>
      <c r="B9" t="inlineStr">
        <is>
          <t>P005</t>
        </is>
      </c>
      <c r="C9" t="n">
        <v>4</v>
      </c>
      <c r="D9" t="inlineStr">
        <is>
          <t>Bandung</t>
        </is>
      </c>
      <c r="E9" s="4">
        <f>_xlfn.XLOOKUP(B9,Data_Produk!$A:$A,Data_Produk!$B:$B,"Tidak ada")</f>
        <v/>
      </c>
      <c r="F9" s="4">
        <f>_xlfn.XLOOKUP(B9,Data_Produk!$A:$A,Data_Produk!$D:$D,0)</f>
        <v/>
      </c>
      <c r="G9" s="4">
        <f>C9*F9</f>
        <v/>
      </c>
    </row>
    <row r="10">
      <c r="A10" t="inlineStr">
        <is>
          <t>TRX-009</t>
        </is>
      </c>
      <c r="B10" t="inlineStr">
        <is>
          <t>P001</t>
        </is>
      </c>
      <c r="C10" t="n">
        <v>16</v>
      </c>
      <c r="D10" t="inlineStr">
        <is>
          <t>Surabaya</t>
        </is>
      </c>
      <c r="E10" s="4">
        <f>_xlfn.XLOOKUP(B10,Data_Produk!$A:$A,Data_Produk!$B:$B,"Tidak ada")</f>
        <v/>
      </c>
      <c r="F10" s="4">
        <f>_xlfn.XLOOKUP(B10,Data_Produk!$A:$A,Data_Produk!$D:$D,0)</f>
        <v/>
      </c>
      <c r="G10" s="4">
        <f>C10*F10</f>
        <v/>
      </c>
    </row>
    <row r="11">
      <c r="A11" t="inlineStr">
        <is>
          <t>TRX-010</t>
        </is>
      </c>
      <c r="B11" t="inlineStr">
        <is>
          <t>P006</t>
        </is>
      </c>
      <c r="C11" t="n">
        <v>7</v>
      </c>
      <c r="D11" t="inlineStr">
        <is>
          <t>Bandung</t>
        </is>
      </c>
      <c r="E11" s="4">
        <f>_xlfn.XLOOKUP(B11,Data_Produk!$A:$A,Data_Produk!$B:$B,"Tidak ada")</f>
        <v/>
      </c>
      <c r="F11" s="4">
        <f>_xlfn.XLOOKUP(B11,Data_Produk!$A:$A,Data_Produk!$D:$D,0)</f>
        <v/>
      </c>
      <c r="G11" s="4">
        <f>C11*F11</f>
        <v/>
      </c>
    </row>
    <row r="12">
      <c r="A12" t="inlineStr">
        <is>
          <t>TRX-011</t>
        </is>
      </c>
      <c r="B12" t="inlineStr">
        <is>
          <t>P005</t>
        </is>
      </c>
      <c r="C12" t="n">
        <v>12</v>
      </c>
      <c r="D12" t="inlineStr">
        <is>
          <t>Bandung</t>
        </is>
      </c>
      <c r="E12" s="4">
        <f>_xlfn.XLOOKUP(B12,Data_Produk!$A:$A,Data_Produk!$B:$B,"Tidak ada")</f>
        <v/>
      </c>
      <c r="F12" s="4">
        <f>_xlfn.XLOOKUP(B12,Data_Produk!$A:$A,Data_Produk!$D:$D,0)</f>
        <v/>
      </c>
      <c r="G12" s="4">
        <f>C12*F12</f>
        <v/>
      </c>
    </row>
    <row r="13">
      <c r="A13" t="inlineStr">
        <is>
          <t>TRX-012</t>
        </is>
      </c>
      <c r="B13" t="inlineStr">
        <is>
          <t>P007</t>
        </is>
      </c>
      <c r="C13" t="n">
        <v>17</v>
      </c>
      <c r="D13" t="inlineStr">
        <is>
          <t>Surabaya</t>
        </is>
      </c>
      <c r="E13" s="4">
        <f>_xlfn.XLOOKUP(B13,Data_Produk!$A:$A,Data_Produk!$B:$B,"Tidak ada")</f>
        <v/>
      </c>
      <c r="F13" s="4">
        <f>_xlfn.XLOOKUP(B13,Data_Produk!$A:$A,Data_Produk!$D:$D,0)</f>
        <v/>
      </c>
      <c r="G13" s="4">
        <f>C13*F13</f>
        <v/>
      </c>
    </row>
    <row r="14">
      <c r="A14" t="inlineStr">
        <is>
          <t>TRX-013</t>
        </is>
      </c>
      <c r="B14" t="inlineStr">
        <is>
          <t>P002</t>
        </is>
      </c>
      <c r="C14" t="n">
        <v>11</v>
      </c>
      <c r="D14" t="inlineStr">
        <is>
          <t>Jakarta</t>
        </is>
      </c>
      <c r="E14" s="4">
        <f>_xlfn.XLOOKUP(B14,Data_Produk!$A:$A,Data_Produk!$B:$B,"Tidak ada")</f>
        <v/>
      </c>
      <c r="F14" s="4">
        <f>_xlfn.XLOOKUP(B14,Data_Produk!$A:$A,Data_Produk!$D:$D,0)</f>
        <v/>
      </c>
      <c r="G14" s="4">
        <f>C14*F14</f>
        <v/>
      </c>
    </row>
    <row r="15">
      <c r="A15" t="inlineStr">
        <is>
          <t>TRX-014</t>
        </is>
      </c>
      <c r="B15" t="inlineStr">
        <is>
          <t>P099</t>
        </is>
      </c>
      <c r="C15" t="n">
        <v>18</v>
      </c>
      <c r="D15" t="inlineStr">
        <is>
          <t>Surabaya</t>
        </is>
      </c>
      <c r="E15" s="4">
        <f>_xlfn.XLOOKUP(B15,Data_Produk!$A:$A,Data_Produk!$B:$B,"Tidak ada")</f>
        <v/>
      </c>
      <c r="F15" s="4">
        <f>_xlfn.XLOOKUP(B15,Data_Produk!$A:$A,Data_Produk!$D:$D,0)</f>
        <v/>
      </c>
      <c r="G15" s="4">
        <f>C15*F15</f>
        <v/>
      </c>
    </row>
    <row r="16">
      <c r="A16" t="inlineStr">
        <is>
          <t>TRX-015</t>
        </is>
      </c>
      <c r="B16" t="inlineStr">
        <is>
          <t>P005</t>
        </is>
      </c>
      <c r="C16" t="n">
        <v>10</v>
      </c>
      <c r="D16" t="inlineStr">
        <is>
          <t>Bandung</t>
        </is>
      </c>
      <c r="E16" s="4">
        <f>_xlfn.XLOOKUP(B16,Data_Produk!$A:$A,Data_Produk!$B:$B,"Tidak ada")</f>
        <v/>
      </c>
      <c r="F16" s="4">
        <f>_xlfn.XLOOKUP(B16,Data_Produk!$A:$A,Data_Produk!$D:$D,0)</f>
        <v/>
      </c>
      <c r="G16" s="4">
        <f>C16*F16</f>
        <v/>
      </c>
    </row>
    <row r="17">
      <c r="A17" t="inlineStr">
        <is>
          <t>TRX-016</t>
        </is>
      </c>
      <c r="B17" t="inlineStr">
        <is>
          <t>P003</t>
        </is>
      </c>
      <c r="C17" t="n">
        <v>19</v>
      </c>
      <c r="D17" t="inlineStr">
        <is>
          <t>Bandung</t>
        </is>
      </c>
      <c r="E17" s="4">
        <f>_xlfn.XLOOKUP(B17,Data_Produk!$A:$A,Data_Produk!$B:$B,"Tidak ada")</f>
        <v/>
      </c>
      <c r="F17" s="4">
        <f>_xlfn.XLOOKUP(B17,Data_Produk!$A:$A,Data_Produk!$D:$D,0)</f>
        <v/>
      </c>
      <c r="G17" s="4">
        <f>C17*F17</f>
        <v/>
      </c>
    </row>
    <row r="18">
      <c r="A18" t="inlineStr">
        <is>
          <t>TRX-017</t>
        </is>
      </c>
      <c r="B18" t="inlineStr">
        <is>
          <t>P001</t>
        </is>
      </c>
      <c r="C18" t="n">
        <v>12</v>
      </c>
      <c r="D18" t="inlineStr">
        <is>
          <t>Bandung</t>
        </is>
      </c>
      <c r="E18" s="4">
        <f>_xlfn.XLOOKUP(B18,Data_Produk!$A:$A,Data_Produk!$B:$B,"Tidak ada")</f>
        <v/>
      </c>
      <c r="F18" s="4">
        <f>_xlfn.XLOOKUP(B18,Data_Produk!$A:$A,Data_Produk!$D:$D,0)</f>
        <v/>
      </c>
      <c r="G18" s="4">
        <f>C18*F18</f>
        <v/>
      </c>
    </row>
    <row r="19">
      <c r="A19" t="inlineStr">
        <is>
          <t>TRX-018</t>
        </is>
      </c>
      <c r="B19" t="inlineStr">
        <is>
          <t>P008</t>
        </is>
      </c>
      <c r="C19" t="n">
        <v>14</v>
      </c>
      <c r="D19" t="inlineStr">
        <is>
          <t>Jakarta</t>
        </is>
      </c>
      <c r="E19" s="4">
        <f>_xlfn.XLOOKUP(B19,Data_Produk!$A:$A,Data_Produk!$B:$B,"Tidak ada")</f>
        <v/>
      </c>
      <c r="F19" s="4">
        <f>_xlfn.XLOOKUP(B19,Data_Produk!$A:$A,Data_Produk!$D:$D,0)</f>
        <v/>
      </c>
      <c r="G19" s="4">
        <f>C19*F19</f>
        <v/>
      </c>
    </row>
    <row r="20">
      <c r="A20" t="inlineStr">
        <is>
          <t>TRX-019</t>
        </is>
      </c>
      <c r="B20" t="inlineStr">
        <is>
          <t>P007</t>
        </is>
      </c>
      <c r="C20" t="n">
        <v>19</v>
      </c>
      <c r="D20" t="inlineStr">
        <is>
          <t>Surabaya</t>
        </is>
      </c>
      <c r="E20" s="4">
        <f>_xlfn.XLOOKUP(B20,Data_Produk!$A:$A,Data_Produk!$B:$B,"Tidak ada")</f>
        <v/>
      </c>
      <c r="F20" s="4">
        <f>_xlfn.XLOOKUP(B20,Data_Produk!$A:$A,Data_Produk!$D:$D,0)</f>
        <v/>
      </c>
      <c r="G20" s="4">
        <f>C20*F20</f>
        <v/>
      </c>
    </row>
    <row r="21">
      <c r="A21" t="inlineStr">
        <is>
          <t>TRX-020</t>
        </is>
      </c>
      <c r="B21" t="inlineStr">
        <is>
          <t>P008</t>
        </is>
      </c>
      <c r="C21" t="n">
        <v>4</v>
      </c>
      <c r="D21" t="inlineStr">
        <is>
          <t>Bandung</t>
        </is>
      </c>
      <c r="E21" s="4">
        <f>_xlfn.XLOOKUP(B21,Data_Produk!$A:$A,Data_Produk!$B:$B,"Tidak ada")</f>
        <v/>
      </c>
      <c r="F21" s="4">
        <f>_xlfn.XLOOKUP(B21,Data_Produk!$A:$A,Data_Produk!$D:$D,0)</f>
        <v/>
      </c>
      <c r="G21" s="4">
        <f>C21*F21</f>
        <v/>
      </c>
    </row>
    <row r="22">
      <c r="A22" t="inlineStr">
        <is>
          <t>TRX-021</t>
        </is>
      </c>
      <c r="B22" t="inlineStr">
        <is>
          <t>P009</t>
        </is>
      </c>
      <c r="C22" t="n">
        <v>20</v>
      </c>
      <c r="D22" t="inlineStr">
        <is>
          <t>Bandung</t>
        </is>
      </c>
      <c r="E22" s="4">
        <f>_xlfn.XLOOKUP(B22,Data_Produk!$A:$A,Data_Produk!$B:$B,"Tidak ada")</f>
        <v/>
      </c>
      <c r="F22" s="4">
        <f>_xlfn.XLOOKUP(B22,Data_Produk!$A:$A,Data_Produk!$D:$D,0)</f>
        <v/>
      </c>
      <c r="G22" s="4">
        <f>C22*F22</f>
        <v/>
      </c>
    </row>
    <row r="23">
      <c r="A23" t="inlineStr">
        <is>
          <t>TRX-022</t>
        </is>
      </c>
      <c r="B23" t="inlineStr">
        <is>
          <t>P007</t>
        </is>
      </c>
      <c r="C23" t="n">
        <v>17</v>
      </c>
      <c r="D23" t="inlineStr">
        <is>
          <t>Bandung</t>
        </is>
      </c>
      <c r="E23" s="4">
        <f>_xlfn.XLOOKUP(B23,Data_Produk!$A:$A,Data_Produk!$B:$B,"Tidak ada")</f>
        <v/>
      </c>
      <c r="F23" s="4">
        <f>_xlfn.XLOOKUP(B23,Data_Produk!$A:$A,Data_Produk!$D:$D,0)</f>
        <v/>
      </c>
      <c r="G23" s="4">
        <f>C23*F23</f>
        <v/>
      </c>
    </row>
    <row r="24">
      <c r="A24" t="inlineStr">
        <is>
          <t>TRX-023</t>
        </is>
      </c>
      <c r="B24" t="inlineStr">
        <is>
          <t>P007</t>
        </is>
      </c>
      <c r="C24" t="n">
        <v>19</v>
      </c>
      <c r="D24" t="inlineStr">
        <is>
          <t>Bandung</t>
        </is>
      </c>
      <c r="E24" s="4">
        <f>_xlfn.XLOOKUP(B24,Data_Produk!$A:$A,Data_Produk!$B:$B,"Tidak ada")</f>
        <v/>
      </c>
      <c r="F24" s="4">
        <f>_xlfn.XLOOKUP(B24,Data_Produk!$A:$A,Data_Produk!$D:$D,0)</f>
        <v/>
      </c>
      <c r="G24" s="4">
        <f>C24*F24</f>
        <v/>
      </c>
    </row>
    <row r="25">
      <c r="A25" t="inlineStr">
        <is>
          <t>TRX-024</t>
        </is>
      </c>
      <c r="B25" t="inlineStr">
        <is>
          <t>P009</t>
        </is>
      </c>
      <c r="C25" t="n">
        <v>17</v>
      </c>
      <c r="D25" t="inlineStr">
        <is>
          <t>Jakarta</t>
        </is>
      </c>
      <c r="E25" s="4">
        <f>_xlfn.XLOOKUP(B25,Data_Produk!$A:$A,Data_Produk!$B:$B,"Tidak ada")</f>
        <v/>
      </c>
      <c r="F25" s="4">
        <f>_xlfn.XLOOKUP(B25,Data_Produk!$A:$A,Data_Produk!$D:$D,0)</f>
        <v/>
      </c>
      <c r="G25" s="4">
        <f>C25*F25</f>
        <v/>
      </c>
    </row>
    <row r="26">
      <c r="A26" t="inlineStr">
        <is>
          <t>TRX-025</t>
        </is>
      </c>
      <c r="B26" t="inlineStr">
        <is>
          <t>P010</t>
        </is>
      </c>
      <c r="C26" t="n">
        <v>8</v>
      </c>
      <c r="D26" t="inlineStr">
        <is>
          <t>Jakarta</t>
        </is>
      </c>
      <c r="E26" s="4">
        <f>_xlfn.XLOOKUP(B26,Data_Produk!$A:$A,Data_Produk!$B:$B,"Tidak ada")</f>
        <v/>
      </c>
      <c r="F26" s="4">
        <f>_xlfn.XLOOKUP(B26,Data_Produk!$A:$A,Data_Produk!$D:$D,0)</f>
        <v/>
      </c>
      <c r="G26" s="4">
        <f>C26*F26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Cabang</t>
        </is>
      </c>
      <c r="B1" s="5" t="inlineStr">
        <is>
          <t>Bulan</t>
        </is>
      </c>
      <c r="C1" s="5" t="inlineStr">
        <is>
          <t>Target (Rp)</t>
        </is>
      </c>
      <c r="E1" t="inlineStr">
        <is>
          <t>Cari target Bandung bulan Nov pakai XLOOKUP dua kriteria:</t>
        </is>
      </c>
    </row>
    <row r="2">
      <c r="A2" t="inlineStr">
        <is>
          <t>Jakarta</t>
        </is>
      </c>
      <c r="B2" t="inlineStr">
        <is>
          <t>Okt</t>
        </is>
      </c>
      <c r="C2" t="n">
        <v>43000000</v>
      </c>
      <c r="E2" t="inlineStr">
        <is>
          <t>Bandung</t>
        </is>
      </c>
      <c r="F2" t="inlineStr">
        <is>
          <t>Nov</t>
        </is>
      </c>
      <c r="G2" s="3" t="inlineStr">
        <is>
          <t>(rumus di sini)</t>
        </is>
      </c>
    </row>
    <row r="3">
      <c r="A3" t="inlineStr">
        <is>
          <t>Jakarta</t>
        </is>
      </c>
      <c r="B3" t="inlineStr">
        <is>
          <t>Nov</t>
        </is>
      </c>
      <c r="C3" t="n">
        <v>85000000</v>
      </c>
    </row>
    <row r="4">
      <c r="A4" t="inlineStr">
        <is>
          <t>Jakarta</t>
        </is>
      </c>
      <c r="B4" t="inlineStr">
        <is>
          <t>Des</t>
        </is>
      </c>
      <c r="C4" t="n">
        <v>73000000</v>
      </c>
      <c r="E4" t="inlineStr">
        <is>
          <t>Kunci:</t>
        </is>
      </c>
      <c r="G4" s="4">
        <f t="array" ref="G4">_xlfn.XLOOKUP(E2&amp;F2,A2:A10&amp;B2:B10,C2:C10)</f>
        <v/>
      </c>
    </row>
    <row r="5">
      <c r="A5" t="inlineStr">
        <is>
          <t>Bandung</t>
        </is>
      </c>
      <c r="B5" t="inlineStr">
        <is>
          <t>Okt</t>
        </is>
      </c>
      <c r="C5" t="n">
        <v>82000000</v>
      </c>
    </row>
    <row r="6">
      <c r="A6" t="inlineStr">
        <is>
          <t>Bandung</t>
        </is>
      </c>
      <c r="B6" t="inlineStr">
        <is>
          <t>Nov</t>
        </is>
      </c>
      <c r="C6" t="n">
        <v>46000000</v>
      </c>
    </row>
    <row r="7">
      <c r="A7" t="inlineStr">
        <is>
          <t>Bandung</t>
        </is>
      </c>
      <c r="B7" t="inlineStr">
        <is>
          <t>Des</t>
        </is>
      </c>
      <c r="C7" t="n">
        <v>85000000</v>
      </c>
    </row>
    <row r="8">
      <c r="A8" t="inlineStr">
        <is>
          <t>Surabaya</t>
        </is>
      </c>
      <c r="B8" t="inlineStr">
        <is>
          <t>Okt</t>
        </is>
      </c>
      <c r="C8" t="n">
        <v>79000000</v>
      </c>
    </row>
    <row r="9">
      <c r="A9" t="inlineStr">
        <is>
          <t>Surabaya</t>
        </is>
      </c>
      <c r="B9" t="inlineStr">
        <is>
          <t>Nov</t>
        </is>
      </c>
      <c r="C9" t="n">
        <v>67000000</v>
      </c>
    </row>
    <row r="10">
      <c r="A10" t="inlineStr">
        <is>
          <t>Surabaya</t>
        </is>
      </c>
      <c r="B10" t="inlineStr">
        <is>
          <t>Des</t>
        </is>
      </c>
      <c r="C10" t="n">
        <v>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2026-10-28T12:09:10Z</dcterms:created>
  <dcterms:modified xmlns:dcterms="http://purl.org/dc/terms/" xmlns:xsi="http://www.w3.org/2001/XMLSchema-instance" xsi:type="dcterms:W3CDTF">2026-10-28T12:09:10Z</dcterms:modified>
</cp:coreProperties>
</file>